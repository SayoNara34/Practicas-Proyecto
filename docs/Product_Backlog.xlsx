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lag203\Downloads\"/>
    </mc:Choice>
  </mc:AlternateContent>
  <bookViews>
    <workbookView xWindow="0" yWindow="0" windowWidth="28800" windowHeight="12180" tabRatio="500"/>
  </bookViews>
  <sheets>
    <sheet name="Product Backlog" sheetId="1" r:id="rId1"/>
    <sheet name="Resumen" sheetId="2" r:id="rId2"/>
  </sheets>
  <definedNames>
    <definedName name="_xlnm._FilterDatabase" localSheetId="0" hidden="1">'Product Backlog'!$A$5:$J$11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5" i="2" l="1"/>
  <c r="C15" i="2"/>
  <c r="B15" i="2"/>
  <c r="D14" i="2"/>
  <c r="C14" i="2"/>
  <c r="B14" i="2"/>
  <c r="B9" i="2"/>
  <c r="B10" i="2" s="1"/>
  <c r="B8" i="2"/>
  <c r="B7" i="2"/>
  <c r="B6" i="2"/>
  <c r="B5" i="2"/>
  <c r="B4" i="2"/>
</calcChain>
</file>

<file path=xl/sharedStrings.xml><?xml version="1.0" encoding="utf-8"?>
<sst xmlns="http://schemas.openxmlformats.org/spreadsheetml/2006/main" count="75" uniqueCount="51">
  <si>
    <t>PRODUCT BACKLOG</t>
  </si>
  <si>
    <t>Sistema Web Control de Plagas en Plátano</t>
  </si>
  <si>
    <t>ID</t>
  </si>
  <si>
    <t>Épica / Módulo</t>
  </si>
  <si>
    <t>Historia de Usuario</t>
  </si>
  <si>
    <t>Criterios de Aceptación</t>
  </si>
  <si>
    <t>Prioridad</t>
  </si>
  <si>
    <t>Story Points</t>
  </si>
  <si>
    <t>Sprint</t>
  </si>
  <si>
    <t>Estado</t>
  </si>
  <si>
    <t>Responsable</t>
  </si>
  <si>
    <t>Última actualización</t>
  </si>
  <si>
    <t>US1</t>
  </si>
  <si>
    <t>Registro y reporte de afectaciones</t>
  </si>
  <si>
    <t>Yo como campesino, deseo tener un formulario en el sistema que me permita registrarme para poder reportar afectaciones en mi cultivo.</t>
  </si>
  <si>
    <t>El formulario valida los campos obligatorios; al enviarlo, el usuario queda registrado en la base de datos y puede iniciar sesión.</t>
  </si>
  <si>
    <t>Sprint 1</t>
  </si>
  <si>
    <t>Completada</t>
  </si>
  <si>
    <t>Equipo</t>
  </si>
  <si>
    <t>03/09/2026</t>
  </si>
  <si>
    <t>US2</t>
  </si>
  <si>
    <t>Yo como campesino, deseo subir fotos de mi cultivo afectado junto con una breve descripción, para que un profesional pueda evaluarlas.</t>
  </si>
  <si>
    <t>El reporte permite adjuntar al menos una imagen; la descripción es obligatoria; el reporte queda asociado al usuario que lo creó.</t>
  </si>
  <si>
    <t>US3</t>
  </si>
  <si>
    <t>Yo como campesino, deseo indicar la ubicación de mi cultivo en el reporte, para que el profesional identifique la zona afectada.</t>
  </si>
  <si>
    <t>El reporte incluye un campo de ubicación (dirección o coordenadas), visible para el profesional que lo revisa.</t>
  </si>
  <si>
    <t>US4</t>
  </si>
  <si>
    <t>Gestión de casos (profesional)</t>
  </si>
  <si>
    <t>Yo como profesional agrónomo, deseo ver el listado de reportes pendientes, para poder priorizar mi atención sobre los casos más urgentes.</t>
  </si>
  <si>
    <t>El listado muestra los reportes en estado "Reportado", ordenables por fecha; cada ítem enlaza al detalle del reporte.</t>
  </si>
  <si>
    <t>Sprint 2</t>
  </si>
  <si>
    <t>En progreso</t>
  </si>
  <si>
    <t>US5</t>
  </si>
  <si>
    <t>Yo como profesional agrónomo, deseo registrar un diagnóstico y una recomendación sobre un reporte, para dar inicio a la resolución del caso.</t>
  </si>
  <si>
    <t>El profesional puede registrar texto de diagnóstico y recomendación; al guardar, el estado del reporte cambia a "Diagnosticado".</t>
  </si>
  <si>
    <t>US6</t>
  </si>
  <si>
    <t>Yo como campesino, deseo consultar el estado de mi reporte (reportado, en revisión, diagnosticado, resuelto), para saber si ya fue atendido.</t>
  </si>
  <si>
    <t>El campesino ve, en el listado de "mis reportes", el estado actual de cada reporte y la fecha de la última actualización.</t>
  </si>
  <si>
    <t>RESUMEN DEL BACKLOG</t>
  </si>
  <si>
    <t>Total de historias de usuario</t>
  </si>
  <si>
    <t>Historias completadas</t>
  </si>
  <si>
    <t>Historias en progreso</t>
  </si>
  <si>
    <t>Historias pendientes</t>
  </si>
  <si>
    <t>Story points totales</t>
  </si>
  <si>
    <t>Story points completados</t>
  </si>
  <si>
    <t>% de avance (story points)</t>
  </si>
  <si>
    <t>Avance por sprint</t>
  </si>
  <si>
    <t>Historias</t>
  </si>
  <si>
    <t>Completadas</t>
  </si>
  <si>
    <t>Nota: los story points son una estimación ilustrativa (escala Fibonacci) asignada por el equipo; ajústalos si tu curso exige otra escala o valores distintos.</t>
  </si>
  <si>
    <t>Última actualización: 17/09/2026 (refinamiento realizado en la planeación del Sprint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</si>
</sst>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i/>
      <sz val="10"/>
      <color rgb="FF555555"/>
      <name val="Arial"/>
      <family val="2"/>
    </font>
    <font>
      <b/>
      <sz val="10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i/>
      <sz val="9"/>
      <color rgb="FF77777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F5233"/>
        <bgColor rgb="FF555555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6" fillId="0" borderId="0" xfId="0" applyFont="1" applyBorder="1" applyAlignment="1">
      <alignment horizontal="left" vertical="top" wrapText="1"/>
    </xf>
    <xf numFmtId="0" fontId="3" fillId="0" borderId="0" xfId="0" applyFont="1" applyBorder="1"/>
    <xf numFmtId="0" fontId="1" fillId="0" borderId="0" xfId="0" applyFont="1"/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/>
    <xf numFmtId="0" fontId="5" fillId="0" borderId="0" xfId="0" applyFont="1"/>
    <xf numFmtId="164" fontId="5" fillId="0" borderId="0" xfId="0" applyNumberFormat="1" applyFont="1"/>
    <xf numFmtId="0" fontId="5" fillId="0" borderId="1" xfId="0" applyFont="1" applyBorder="1" applyAlignment="1">
      <alignment horizontal="left"/>
    </xf>
    <xf numFmtId="14" fontId="5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3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52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zoomScaleNormal="100" workbookViewId="0">
      <pane ySplit="5" topLeftCell="A6" activePane="bottomLeft" state="frozen"/>
      <selection pane="bottomLeft" activeCell="D20" sqref="D20"/>
    </sheetView>
  </sheetViews>
  <sheetFormatPr baseColWidth="10" defaultColWidth="8.7109375" defaultRowHeight="15" x14ac:dyDescent="0.25"/>
  <cols>
    <col min="1" max="1" width="7" customWidth="1"/>
    <col min="2" max="2" width="22" customWidth="1"/>
    <col min="3" max="4" width="42" customWidth="1"/>
    <col min="5" max="5" width="14.85546875" bestFit="1" customWidth="1"/>
    <col min="6" max="6" width="17.85546875" bestFit="1" customWidth="1"/>
    <col min="7" max="7" width="11.7109375" bestFit="1" customWidth="1"/>
    <col min="8" max="8" width="12.5703125" bestFit="1" customWidth="1"/>
    <col min="9" max="9" width="18.85546875" bestFit="1" customWidth="1"/>
    <col min="10" max="10" width="16" customWidth="1"/>
  </cols>
  <sheetData>
    <row r="1" spans="1:10" ht="18" x14ac:dyDescent="0.25">
      <c r="A1" s="3" t="s">
        <v>0</v>
      </c>
    </row>
    <row r="2" spans="1:10" x14ac:dyDescent="0.25">
      <c r="A2" s="4" t="s">
        <v>1</v>
      </c>
    </row>
    <row r="3" spans="1:10" x14ac:dyDescent="0.25">
      <c r="A3" s="2" t="s">
        <v>50</v>
      </c>
      <c r="B3" s="2"/>
      <c r="C3" s="2"/>
      <c r="D3" s="2"/>
      <c r="E3" s="2"/>
    </row>
    <row r="5" spans="1:10" ht="30" x14ac:dyDescent="0.2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</row>
    <row r="6" spans="1:10" ht="45.75" customHeight="1" x14ac:dyDescent="0.25">
      <c r="A6" s="6" t="s">
        <v>12</v>
      </c>
      <c r="B6" s="6" t="s">
        <v>13</v>
      </c>
      <c r="C6" s="7" t="s">
        <v>14</v>
      </c>
      <c r="D6" s="7" t="s">
        <v>15</v>
      </c>
      <c r="E6" s="8">
        <v>1</v>
      </c>
      <c r="F6" s="8">
        <v>3</v>
      </c>
      <c r="G6" s="6" t="s">
        <v>16</v>
      </c>
      <c r="H6" s="6" t="s">
        <v>17</v>
      </c>
      <c r="I6" s="6" t="s">
        <v>18</v>
      </c>
      <c r="J6" s="6" t="s">
        <v>19</v>
      </c>
    </row>
    <row r="7" spans="1:10" ht="45.75" customHeight="1" x14ac:dyDescent="0.25">
      <c r="A7" s="6" t="s">
        <v>20</v>
      </c>
      <c r="B7" s="6" t="s">
        <v>13</v>
      </c>
      <c r="C7" s="7" t="s">
        <v>21</v>
      </c>
      <c r="D7" s="7" t="s">
        <v>22</v>
      </c>
      <c r="E7" s="8">
        <v>2</v>
      </c>
      <c r="F7" s="8">
        <v>5</v>
      </c>
      <c r="G7" s="6" t="s">
        <v>16</v>
      </c>
      <c r="H7" s="6" t="s">
        <v>17</v>
      </c>
      <c r="I7" s="6" t="s">
        <v>18</v>
      </c>
      <c r="J7" s="6" t="s">
        <v>19</v>
      </c>
    </row>
    <row r="8" spans="1:10" ht="38.25" x14ac:dyDescent="0.25">
      <c r="A8" s="6" t="s">
        <v>23</v>
      </c>
      <c r="B8" s="6" t="s">
        <v>13</v>
      </c>
      <c r="C8" s="7" t="s">
        <v>24</v>
      </c>
      <c r="D8" s="7" t="s">
        <v>25</v>
      </c>
      <c r="E8" s="8">
        <v>3</v>
      </c>
      <c r="F8" s="8">
        <v>3</v>
      </c>
      <c r="G8" s="6" t="s">
        <v>16</v>
      </c>
      <c r="H8" s="6" t="s">
        <v>17</v>
      </c>
      <c r="I8" s="6" t="s">
        <v>18</v>
      </c>
      <c r="J8" s="6" t="s">
        <v>19</v>
      </c>
    </row>
    <row r="9" spans="1:10" ht="51" x14ac:dyDescent="0.25">
      <c r="A9" s="6" t="s">
        <v>26</v>
      </c>
      <c r="B9" s="6" t="s">
        <v>27</v>
      </c>
      <c r="C9" s="7" t="s">
        <v>28</v>
      </c>
      <c r="D9" s="7" t="s">
        <v>29</v>
      </c>
      <c r="E9" s="8">
        <v>4</v>
      </c>
      <c r="F9" s="8">
        <v>5</v>
      </c>
      <c r="G9" s="6" t="s">
        <v>30</v>
      </c>
      <c r="H9" s="6" t="s">
        <v>31</v>
      </c>
      <c r="I9" s="6" t="s">
        <v>18</v>
      </c>
      <c r="J9" s="13">
        <v>46282</v>
      </c>
    </row>
    <row r="10" spans="1:10" ht="38.25" x14ac:dyDescent="0.25">
      <c r="A10" s="6" t="s">
        <v>32</v>
      </c>
      <c r="B10" s="6" t="s">
        <v>27</v>
      </c>
      <c r="C10" s="7" t="s">
        <v>33</v>
      </c>
      <c r="D10" s="7" t="s">
        <v>34</v>
      </c>
      <c r="E10" s="8">
        <v>5</v>
      </c>
      <c r="F10" s="8">
        <v>8</v>
      </c>
      <c r="G10" s="6" t="s">
        <v>30</v>
      </c>
      <c r="H10" s="6" t="s">
        <v>31</v>
      </c>
      <c r="I10" s="6" t="s">
        <v>18</v>
      </c>
      <c r="J10" s="13">
        <v>46282</v>
      </c>
    </row>
    <row r="11" spans="1:10" ht="51" x14ac:dyDescent="0.25">
      <c r="A11" s="6" t="s">
        <v>35</v>
      </c>
      <c r="B11" s="6" t="s">
        <v>27</v>
      </c>
      <c r="C11" s="7" t="s">
        <v>36</v>
      </c>
      <c r="D11" s="7" t="s">
        <v>37</v>
      </c>
      <c r="E11" s="8">
        <v>6</v>
      </c>
      <c r="F11" s="8">
        <v>3</v>
      </c>
      <c r="G11" s="6" t="s">
        <v>30</v>
      </c>
      <c r="H11" s="6" t="s">
        <v>31</v>
      </c>
      <c r="I11" s="6" t="s">
        <v>18</v>
      </c>
      <c r="J11" s="13">
        <v>46282</v>
      </c>
    </row>
  </sheetData>
  <autoFilter ref="A5:J11"/>
  <mergeCells count="1">
    <mergeCell ref="A3:E3"/>
  </mergeCells>
  <conditionalFormatting sqref="H6:H31">
    <cfRule type="cellIs" dxfId="2" priority="2" operator="equal">
      <formula>"Completada"</formula>
    </cfRule>
    <cfRule type="cellIs" dxfId="1" priority="3" operator="equal">
      <formula>"En progreso"</formula>
    </cfRule>
    <cfRule type="cellIs" dxfId="0" priority="4" operator="equal">
      <formula>"Bloqueada"</formula>
    </cfRule>
  </conditionalFormatting>
  <dataValidations count="2">
    <dataValidation type="list" sqref="H6:H31">
      <formula1>"Pendiente,En progreso,Completada,Bloqueada"</formula1>
      <formula2>0</formula2>
    </dataValidation>
    <dataValidation type="list" sqref="G6:G31">
      <formula1>"Sprint 0,Sprint 1,Sprint 2,Sprint 3,Backlog"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zoomScaleNormal="100" workbookViewId="0"/>
  </sheetViews>
  <sheetFormatPr baseColWidth="10" defaultColWidth="8.7109375" defaultRowHeight="15" x14ac:dyDescent="0.25"/>
  <cols>
    <col min="1" max="1" width="32" customWidth="1"/>
    <col min="2" max="2" width="18" customWidth="1"/>
  </cols>
  <sheetData>
    <row r="1" spans="1:4" ht="18" x14ac:dyDescent="0.25">
      <c r="A1" s="3" t="s">
        <v>38</v>
      </c>
    </row>
    <row r="2" spans="1:4" x14ac:dyDescent="0.25">
      <c r="A2" s="4" t="s">
        <v>1</v>
      </c>
    </row>
    <row r="4" spans="1:4" x14ac:dyDescent="0.25">
      <c r="A4" s="9" t="s">
        <v>39</v>
      </c>
      <c r="B4" s="10">
        <f>COUNTA('Product Backlog'!A6:A11)</f>
        <v>6</v>
      </c>
    </row>
    <row r="5" spans="1:4" x14ac:dyDescent="0.25">
      <c r="A5" s="9" t="s">
        <v>40</v>
      </c>
      <c r="B5" s="10">
        <f>COUNTIF('Product Backlog'!H6:H11,"Completada")</f>
        <v>3</v>
      </c>
    </row>
    <row r="6" spans="1:4" x14ac:dyDescent="0.25">
      <c r="A6" s="9" t="s">
        <v>41</v>
      </c>
      <c r="B6" s="10">
        <f>COUNTIF('Product Backlog'!H6:H11,"En progreso")</f>
        <v>3</v>
      </c>
    </row>
    <row r="7" spans="1:4" x14ac:dyDescent="0.25">
      <c r="A7" s="9" t="s">
        <v>42</v>
      </c>
      <c r="B7" s="10">
        <f>COUNTIF('Product Backlog'!H6:H11,"Pendiente")</f>
        <v>0</v>
      </c>
    </row>
    <row r="8" spans="1:4" x14ac:dyDescent="0.25">
      <c r="A8" s="9" t="s">
        <v>43</v>
      </c>
      <c r="B8" s="10">
        <f>SUM('Product Backlog'!F6:F11)</f>
        <v>27</v>
      </c>
    </row>
    <row r="9" spans="1:4" x14ac:dyDescent="0.25">
      <c r="A9" s="9" t="s">
        <v>44</v>
      </c>
      <c r="B9" s="10">
        <f>SUMIF('Product Backlog'!H6:H11,"Completada",'Product Backlog'!F6:F11)</f>
        <v>11</v>
      </c>
    </row>
    <row r="10" spans="1:4" x14ac:dyDescent="0.25">
      <c r="A10" s="9" t="s">
        <v>45</v>
      </c>
      <c r="B10" s="11">
        <f>IFERROR(B9/B8,0)</f>
        <v>0.40740740740740738</v>
      </c>
    </row>
    <row r="12" spans="1:4" x14ac:dyDescent="0.25">
      <c r="A12" s="9" t="s">
        <v>46</v>
      </c>
    </row>
    <row r="13" spans="1:4" ht="30" x14ac:dyDescent="0.25">
      <c r="A13" s="5" t="s">
        <v>8</v>
      </c>
      <c r="B13" s="5" t="s">
        <v>47</v>
      </c>
      <c r="C13" s="5" t="s">
        <v>7</v>
      </c>
      <c r="D13" s="5" t="s">
        <v>48</v>
      </c>
    </row>
    <row r="14" spans="1:4" x14ac:dyDescent="0.25">
      <c r="A14" s="12" t="s">
        <v>16</v>
      </c>
      <c r="B14" s="8">
        <f>COUNTIF('Product Backlog'!G6:G11,A14)</f>
        <v>3</v>
      </c>
      <c r="C14" s="8">
        <f>SUMIF('Product Backlog'!G6:G11,A14,'Product Backlog'!F6:F11)</f>
        <v>11</v>
      </c>
      <c r="D14" s="8">
        <f>COUNTIFS('Product Backlog'!G6:G11,A14,'Product Backlog'!H6:H11,"Completada")</f>
        <v>3</v>
      </c>
    </row>
    <row r="15" spans="1:4" x14ac:dyDescent="0.25">
      <c r="A15" s="12" t="s">
        <v>30</v>
      </c>
      <c r="B15" s="8">
        <f>COUNTIF('Product Backlog'!G6:G11,A15)</f>
        <v>3</v>
      </c>
      <c r="C15" s="8">
        <f>SUMIF('Product Backlog'!G6:G11,A15,'Product Backlog'!F6:F11)</f>
        <v>16</v>
      </c>
      <c r="D15" s="8">
        <f>COUNTIFS('Product Backlog'!G6:G11,A15,'Product Backlog'!H6:H11,"Completada")</f>
        <v>0</v>
      </c>
    </row>
    <row r="17" spans="1:4" ht="30" customHeight="1" x14ac:dyDescent="0.25">
      <c r="A17" s="1" t="s">
        <v>49</v>
      </c>
      <c r="B17" s="1"/>
      <c r="C17" s="1"/>
      <c r="D17" s="1"/>
    </row>
  </sheetData>
  <mergeCells count="1">
    <mergeCell ref="A17:D1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 Backlog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salaG203</cp:lastModifiedBy>
  <cp:revision>0</cp:revision>
  <dcterms:created xsi:type="dcterms:W3CDTF">2026-09-17T22:01:50Z</dcterms:created>
  <dcterms:modified xsi:type="dcterms:W3CDTF">2026-09-17T22:06:17Z</dcterms:modified>
  <dc:language>en-US</dc:language>
</cp:coreProperties>
</file>